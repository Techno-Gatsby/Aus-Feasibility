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Sizing" sheetId="2" state="visible" r:id="rId2"/>
    <sheet name="Unit prices" sheetId="3" state="visible" r:id="rId3"/>
    <sheet name="App settings" sheetId="4" state="visible" r:id="rId4"/>
    <sheet name="Access &amp; routes" sheetId="5" state="visible" r:id="rId5"/>
    <sheet name="Outbound hosts" sheetId="6" state="visible" r:id="rId6"/>
    <sheet name="Runtime sta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"/>
    <numFmt numFmtId="166" formatCode="#,##0.000"/>
    <numFmt numFmtId="167" formatCode="0.0000"/>
    <numFmt numFmtId="168" formatCode="$#,##0.00;($#,##0.00);&quot;-&quot;"/>
    <numFmt numFmtId="169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12305E"/>
      <sz val="14"/>
    </font>
    <font>
      <name val="Arial"/>
      <i val="1"/>
      <color rgb="006B7A94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  <font>
      <name val="Arial"/>
      <b val="1"/>
      <sz val="10"/>
    </font>
    <font>
      <name val="Arial"/>
      <i val="1"/>
      <color rgb="0042506B"/>
      <sz val="9"/>
    </font>
  </fonts>
  <fills count="4">
    <fill>
      <patternFill/>
    </fill>
    <fill>
      <patternFill patternType="gray125"/>
    </fill>
    <fill>
      <patternFill patternType="solid">
        <fgColor rgb="0012305E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C9D2E1"/>
      </left>
      <right style="thin">
        <color rgb="00C9D2E1"/>
      </right>
      <top style="thin">
        <color rgb="00C9D2E1"/>
      </top>
      <bottom style="thin">
        <color rgb="00C9D2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8" fontId="5" fillId="0" borderId="1" applyAlignment="1" pivotButton="0" quotePrefix="0" xfId="0">
      <alignment vertical="top" wrapText="1"/>
    </xf>
    <xf numFmtId="168" fontId="6" fillId="0" borderId="1" applyAlignment="1" pivotButton="0" quotePrefix="0" xfId="0">
      <alignment vertical="top" wrapText="1"/>
    </xf>
    <xf numFmtId="0" fontId="7" fillId="0" borderId="0" pivotButton="0" quotePrefix="0" xfId="0"/>
    <xf numFmtId="169" fontId="7" fillId="0" borderId="1" pivotButton="0" quotePrefix="0" xfId="0"/>
    <xf numFmtId="0" fontId="8" fillId="0" borderId="0" pivotButton="0" quotePrefix="0" xfId="0"/>
    <xf numFmtId="3" fontId="4" fillId="3" borderId="1" applyAlignment="1" pivotButton="0" quotePrefix="0" xfId="0">
      <alignment vertical="top" wrapText="1"/>
    </xf>
    <xf numFmtId="1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167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26" customWidth="1" min="4" max="4"/>
    <col width="16" customWidth="1" min="5" max="5"/>
    <col width="12" customWidth="1" min="6" max="6"/>
    <col width="44" customWidth="1" min="7" max="7"/>
    <col width="60" customWidth="1" min="8" max="8"/>
    <col width="16" customWidth="1" min="9" max="9"/>
    <col width="30" customWidth="1" min="10" max="10"/>
  </cols>
  <sheetData>
    <row r="1">
      <c r="A1" s="1" t="inlineStr">
        <is>
          <t>Azure resource requirements – LS Attendance (worker app + admin tracker)</t>
        </is>
      </c>
    </row>
    <row r="2">
      <c r="A2" s="2" t="inlineStr">
        <is>
          <t>Latinem Securities · one resource group · all costs are formulas from the Sizing and Unit prices sheets (indicative, USD per month)</t>
        </is>
      </c>
    </row>
    <row r="4" ht="30" customHeight="1">
      <c r="A4" s="3" t="inlineStr">
        <is>
          <t>#</t>
        </is>
      </c>
      <c r="B4" s="3" t="inlineStr">
        <is>
          <t>Resource</t>
        </is>
      </c>
      <c r="C4" s="3" t="inlineStr">
        <is>
          <t>Azure service / SKU</t>
        </is>
      </c>
      <c r="D4" s="3" t="inlineStr">
        <is>
          <t>Suggested name</t>
        </is>
      </c>
      <c r="E4" s="3" t="inlineStr">
        <is>
          <t>Region</t>
        </is>
      </c>
      <c r="F4" s="3" t="inlineStr">
        <is>
          <t>Required</t>
        </is>
      </c>
      <c r="G4" s="3" t="inlineStr">
        <is>
          <t>Purpose</t>
        </is>
      </c>
      <c r="H4" s="3" t="inlineStr">
        <is>
          <t>Configuration</t>
        </is>
      </c>
      <c r="I4" s="3" t="inlineStr">
        <is>
          <t>Est. monthly cost (USD)</t>
        </is>
      </c>
      <c r="J4" s="3" t="inlineStr">
        <is>
          <t>Owner / action</t>
        </is>
      </c>
    </row>
    <row r="5">
      <c r="A5" s="4" t="n">
        <v>1</v>
      </c>
      <c r="B5" s="4" t="inlineStr">
        <is>
          <t>Resource group</t>
        </is>
      </c>
      <c r="C5" s="4" t="inlineStr">
        <is>
          <t>Resource group</t>
        </is>
      </c>
      <c r="D5" s="4" t="inlineStr">
        <is>
          <t>rg-ls-attendance</t>
        </is>
      </c>
      <c r="E5" s="4" t="inlineStr">
        <is>
          <t>UAE North</t>
        </is>
      </c>
      <c r="F5" s="4" t="inlineStr">
        <is>
          <t>Yes</t>
        </is>
      </c>
      <c r="G5" s="4" t="inlineStr">
        <is>
          <t>Container for every resource below; one place for access, tags and budget</t>
        </is>
      </c>
      <c r="H5" s="4" t="inlineStr">
        <is>
          <t>Tags: app=ls-attendance, owner=Latinem Securities, env=prod</t>
        </is>
      </c>
      <c r="I5" s="5" t="n">
        <v>0</v>
      </c>
      <c r="J5" s="4" t="inlineStr">
        <is>
          <t>IT – create</t>
        </is>
      </c>
    </row>
    <row r="6">
      <c r="A6" s="4" t="n">
        <v>2</v>
      </c>
      <c r="B6" s="4" t="inlineStr">
        <is>
          <t>Static Web App</t>
        </is>
      </c>
      <c r="C6" s="4" t="inlineStr">
        <is>
          <t>Azure Static Web Apps – Standard</t>
        </is>
      </c>
      <c r="D6" s="4" t="inlineStr">
        <is>
          <t>swa-ls-attendance</t>
        </is>
      </c>
      <c r="E6" s="4" t="inlineStr">
        <is>
          <t>West Europe (nearest SWA region)</t>
        </is>
      </c>
      <c r="F6" s="4" t="inlineStr">
        <is>
          <t>Yes</t>
        </is>
      </c>
      <c r="G6" s="4" t="inlineStr">
        <is>
          <t>Hosts the admin tracker (/) and the worker page (/worker/); runs the managed API; HTTPS, custom domain, managed certificate, role-based routes</t>
        </is>
      </c>
      <c r="H6" s="4" t="inlineStr">
        <is>
          <t>Deploy folder azure/web; API folder azure/api; Node 20; staticwebapp.config.json enforces roles and security headers; app settings LS_STORAGE, LS_TOKEN_SECRET</t>
        </is>
      </c>
      <c r="I6" s="6">
        <f>'Unit prices'!B5</f>
        <v/>
      </c>
      <c r="J6" s="4" t="inlineStr">
        <is>
          <t>IT – create; Admin – deploy</t>
        </is>
      </c>
    </row>
    <row r="7">
      <c r="A7" s="4" t="n">
        <v>3</v>
      </c>
      <c r="B7" s="4" t="inlineStr">
        <is>
          <t>Managed API (Functions)</t>
        </is>
      </c>
      <c r="C7" s="4" t="inlineStr">
        <is>
          <t>Included in Static Web Apps Standard</t>
        </is>
      </c>
      <c r="D7" s="4" t="inlineStr">
        <is>
          <t>(inside swa-ls-attendance)</t>
        </is>
      </c>
      <c r="E7" s="4" t="inlineStr">
        <is>
          <t>Same as SWA</t>
        </is>
      </c>
      <c r="F7" s="4" t="inlineStr">
        <is>
          <t>Yes</t>
        </is>
      </c>
      <c r="G7" s="4" t="inlineStr">
        <is>
          <t>Worker login, punch with geofence check, supervisor board and day marks, admin roster/sync/review/photos</t>
        </is>
      </c>
      <c r="H7" s="4" t="inlineStr">
        <is>
          <t>Azure Functions v4 programming model, Node.js 20, one HTTP function /api/{*path}; no separate plan needed</t>
        </is>
      </c>
      <c r="I7" s="5" t="n">
        <v>0</v>
      </c>
      <c r="J7" s="4" t="inlineStr">
        <is>
          <t>Included</t>
        </is>
      </c>
    </row>
    <row r="8">
      <c r="A8" s="4" t="n">
        <v>4</v>
      </c>
      <c r="B8" s="4" t="inlineStr">
        <is>
          <t>Storage account</t>
        </is>
      </c>
      <c r="C8" s="4" t="inlineStr">
        <is>
          <t>Storage account – StorageV2, Standard LRS (ZRS if required)</t>
        </is>
      </c>
      <c r="D8" s="4" t="inlineStr">
        <is>
          <t>stlsattendance&lt;unique&gt;</t>
        </is>
      </c>
      <c r="E8" s="4" t="inlineStr">
        <is>
          <t>UAE North</t>
        </is>
      </c>
      <c r="F8" s="4" t="inlineStr">
        <is>
          <t>Yes</t>
        </is>
      </c>
      <c r="G8" s="4" t="inlineStr">
        <is>
          <t>Data for the worker app: Table Storage (workers, sites, punches, marks, config) and private Blob container for photos</t>
        </is>
      </c>
      <c r="H8" s="4" t="inlineStr">
        <is>
          <t>TLS 1.2 minimum; public blob access disabled; soft delete on for blobs (7 days); lifecycle rule deletes photos after the retention period; optional move to Cool after 30 days</t>
        </is>
      </c>
      <c r="I8" s="6">
        <f>Sizing!B15*'Unit prices'!B6+Sizing!B16*'Unit prices'!B7+Sizing!B18/10000*'Unit prices'!B8</f>
        <v/>
      </c>
      <c r="J8" s="4" t="inlineStr">
        <is>
          <t>IT – create; share connection string</t>
        </is>
      </c>
    </row>
    <row r="9">
      <c r="A9" s="4" t="n">
        <v>5</v>
      </c>
      <c r="B9" s="4" t="inlineStr">
        <is>
          <t>Photo container</t>
        </is>
      </c>
      <c r="C9" s="4" t="inlineStr">
        <is>
          <t>Blob container (private)</t>
        </is>
      </c>
      <c r="D9" s="4" t="inlineStr">
        <is>
          <t>ls-photos</t>
        </is>
      </c>
      <c r="E9" s="4" t="inlineStr">
        <is>
          <t>In storage account</t>
        </is>
      </c>
      <c r="F9" s="4" t="inlineStr">
        <is>
          <t>Yes</t>
        </is>
      </c>
      <c r="G9" s="4" t="inlineStr">
        <is>
          <t>Watermarked check-in / check-out photos</t>
        </is>
      </c>
      <c r="H9" s="4" t="inlineStr">
        <is>
          <t>Created automatically on first punch; path photos/YYYY-MM/&lt;id&gt;.jpg; served only through /api/admin/photo after the role check</t>
        </is>
      </c>
      <c r="I9" s="5" t="n">
        <v>0</v>
      </c>
      <c r="J9" s="4" t="inlineStr">
        <is>
          <t>Automatic</t>
        </is>
      </c>
    </row>
    <row r="10">
      <c r="A10" s="4" t="n">
        <v>6</v>
      </c>
      <c r="B10" s="4" t="inlineStr">
        <is>
          <t>Tables</t>
        </is>
      </c>
      <c r="C10" s="4" t="inlineStr">
        <is>
          <t>Table Storage tables</t>
        </is>
      </c>
      <c r="D10" s="4" t="inlineStr">
        <is>
          <t>lsworkers, lssites, lspunches, lsmarks, lsconfig</t>
        </is>
      </c>
      <c r="E10" s="4" t="inlineStr">
        <is>
          <t>In storage account</t>
        </is>
      </c>
      <c r="F10" s="4" t="inlineStr">
        <is>
          <t>Yes</t>
        </is>
      </c>
      <c r="G10" s="4" t="inlineStr">
        <is>
          <t>Roster with PIN hashes and device, site pins and zone radius, punches by month, no-check-in decisions, rules</t>
        </is>
      </c>
      <c r="H10" s="4" t="inlineStr">
        <is>
          <t>Created automatically on first use</t>
        </is>
      </c>
      <c r="I10" s="5" t="n">
        <v>0</v>
      </c>
      <c r="J10" s="4" t="inlineStr">
        <is>
          <t>Automatic</t>
        </is>
      </c>
    </row>
    <row r="11">
      <c r="A11" s="4" t="n">
        <v>7</v>
      </c>
      <c r="B11" s="4" t="inlineStr">
        <is>
          <t>Microsoft Entra ID app registration</t>
        </is>
      </c>
      <c r="C11" s="4" t="inlineStr">
        <is>
          <t>Entra ID (existing Sobha tenant)</t>
        </is>
      </c>
      <c r="D11" s="4" t="inlineStr">
        <is>
          <t>app-ls-attendance</t>
        </is>
      </c>
      <c r="E11" s="4" t="inlineStr">
        <is>
          <t>Global</t>
        </is>
      </c>
      <c r="F11" s="4" t="inlineStr">
        <is>
          <t>Yes</t>
        </is>
      </c>
      <c r="G11" s="4" t="inlineStr">
        <is>
          <t>Sign-in for admin, supervisor and viewer users; single-tenant so only Sobha accounts can sign in</t>
        </is>
      </c>
      <c r="H11" s="4" t="inlineStr">
        <is>
          <t>Redirect URI https://&lt;swa-host&gt;/.auth/login/aad/callback; client ID + secret added as SWA settings AAD_CLIENT_ID / AAD_CLIENT_SECRET</t>
        </is>
      </c>
      <c r="I11" s="5" t="n">
        <v>0</v>
      </c>
      <c r="J11" s="4" t="inlineStr">
        <is>
          <t>IT – Entra admin</t>
        </is>
      </c>
    </row>
    <row r="12">
      <c r="A12" s="4" t="n">
        <v>8</v>
      </c>
      <c r="B12" s="4" t="inlineStr">
        <is>
          <t>Role assignments</t>
        </is>
      </c>
      <c r="C12" s="4" t="inlineStr">
        <is>
          <t>SWA role management (invitations)</t>
        </is>
      </c>
      <c r="D12" s="4" t="inlineStr">
        <is>
          <t>admin · supervisor · viewer</t>
        </is>
      </c>
      <c r="E12" s="4" t="inlineStr">
        <is>
          <t>n/a</t>
        </is>
      </c>
      <c r="F12" s="4" t="inlineStr">
        <is>
          <t>Yes</t>
        </is>
      </c>
      <c r="G12" s="4" t="inlineStr">
        <is>
          <t>Access levels: admin = full tracker; supervisor = site board and day marks; viewer = read-only</t>
        </is>
      </c>
      <c r="H12" s="4" t="inlineStr">
        <is>
          <t>Invite by Sobha e-mail. Above 25 users per role, map Entra ID security groups to roles with a roles function (supported on Standard)</t>
        </is>
      </c>
      <c r="I12" s="5" t="n">
        <v>0</v>
      </c>
      <c r="J12" s="4" t="inlineStr">
        <is>
          <t>Admin</t>
        </is>
      </c>
    </row>
    <row r="13">
      <c r="A13" s="4" t="n">
        <v>9</v>
      </c>
      <c r="B13" s="4" t="inlineStr">
        <is>
          <t>Application Insights + Log Analytics</t>
        </is>
      </c>
      <c r="C13" s="4" t="inlineStr">
        <is>
          <t>Application Insights (workspace-based)</t>
        </is>
      </c>
      <c r="D13" s="4" t="inlineStr">
        <is>
          <t>appi-ls-attendance / log-ls-attendance</t>
        </is>
      </c>
      <c r="E13" s="4" t="inlineStr">
        <is>
          <t>UAE North</t>
        </is>
      </c>
      <c r="F13" s="4" t="inlineStr">
        <is>
          <t>Recommended</t>
        </is>
      </c>
      <c r="G13" s="4" t="inlineStr">
        <is>
          <t>API errors, response times, failed logins, usage</t>
        </is>
      </c>
      <c r="H13" s="4" t="inlineStr">
        <is>
          <t>Link to the Static Web App; sampling on; 30-day retention; alerts on HTTP 5xx and login lock-outs</t>
        </is>
      </c>
      <c r="I13" s="6">
        <f>MAX(0,Sizing!B19-'Unit prices'!B10)*'Unit prices'!B9</f>
        <v/>
      </c>
      <c r="J13" s="4" t="inlineStr">
        <is>
          <t>IT – create</t>
        </is>
      </c>
    </row>
    <row r="14">
      <c r="A14" s="4" t="n">
        <v>10</v>
      </c>
      <c r="B14" s="4" t="inlineStr">
        <is>
          <t>Custom domain + DNS</t>
        </is>
      </c>
      <c r="C14" s="4" t="inlineStr">
        <is>
          <t>DNS CNAME record (existing DNS)</t>
        </is>
      </c>
      <c r="D14" s="4" t="inlineStr">
        <is>
          <t>e.g. attendance.latinem.ae</t>
        </is>
      </c>
      <c r="E14" s="4" t="inlineStr">
        <is>
          <t>n/a</t>
        </is>
      </c>
      <c r="F14" s="4" t="inlineStr">
        <is>
          <t>Recommended</t>
        </is>
      </c>
      <c r="G14" s="4" t="inlineStr">
        <is>
          <t>Friendly HTTPS address for workers and PIN-slip QR code</t>
        </is>
      </c>
      <c r="H14" s="4" t="inlineStr">
        <is>
          <t>CNAME to the SWA default host; managed certificate issued free by SWA</t>
        </is>
      </c>
      <c r="I14" s="5" t="n">
        <v>0</v>
      </c>
      <c r="J14" s="4" t="inlineStr">
        <is>
          <t>IT – DNS</t>
        </is>
      </c>
    </row>
    <row r="15">
      <c r="A15" s="4" t="n">
        <v>11</v>
      </c>
      <c r="B15" s="4" t="inlineStr">
        <is>
          <t>Budget + cost alert</t>
        </is>
      </c>
      <c r="C15" s="4" t="inlineStr">
        <is>
          <t>Cost Management budget</t>
        </is>
      </c>
      <c r="D15" s="4" t="inlineStr">
        <is>
          <t>budget-ls-attendance</t>
        </is>
      </c>
      <c r="E15" s="4" t="inlineStr">
        <is>
          <t>Subscription</t>
        </is>
      </c>
      <c r="F15" s="4" t="inlineStr">
        <is>
          <t>Recommended</t>
        </is>
      </c>
      <c r="G15" s="4" t="inlineStr">
        <is>
          <t>Alert if spend passes the expected monthly amount</t>
        </is>
      </c>
      <c r="H15" s="4" t="inlineStr">
        <is>
          <t>Monthly budget = total below + 50%; e-mail at 80% and 100%</t>
        </is>
      </c>
      <c r="I15" s="5" t="n">
        <v>0</v>
      </c>
      <c r="J15" s="4" t="inlineStr">
        <is>
          <t>IT</t>
        </is>
      </c>
    </row>
    <row r="16">
      <c r="A16" s="4" t="n">
        <v>12</v>
      </c>
      <c r="B16" s="4" t="inlineStr">
        <is>
          <t>Source + CI/CD</t>
        </is>
      </c>
      <c r="C16" s="4" t="inlineStr">
        <is>
          <t>GitHub repository + GitHub Actions (or Azure DevOps)</t>
        </is>
      </c>
      <c r="D16" s="4" t="inlineStr">
        <is>
          <t>Techno-Gatsby/Aus-Feasibility</t>
        </is>
      </c>
      <c r="E16" s="4" t="inlineStr">
        <is>
          <t>n/a</t>
        </is>
      </c>
      <c r="F16" s="4" t="inlineStr">
        <is>
          <t>Recommended</t>
        </is>
      </c>
      <c r="G16" s="4" t="inlineStr">
        <is>
          <t>Build (node build.mjs) and deploy on every approved change</t>
        </is>
      </c>
      <c r="H16" s="4" t="inlineStr">
        <is>
          <t>Workflow: app_location ls-attendance-tracker/azure/web, api_location ls-attendance-tracker/azure/api, skip_app_build true; secret AZURE_STATIC_WEB_APPS_API_TOKEN</t>
        </is>
      </c>
      <c r="I16" s="5" t="n">
        <v>0</v>
      </c>
      <c r="J16" s="4" t="inlineStr">
        <is>
          <t>Admin</t>
        </is>
      </c>
    </row>
    <row r="17">
      <c r="A17" s="4" t="n">
        <v>13</v>
      </c>
      <c r="B17" s="4" t="inlineStr">
        <is>
          <t>Key Vault</t>
        </is>
      </c>
      <c r="C17" s="4" t="inlineStr">
        <is>
          <t>Azure Key Vault – Standard</t>
        </is>
      </c>
      <c r="D17" s="4" t="inlineStr">
        <is>
          <t>kv-ls-attendance</t>
        </is>
      </c>
      <c r="E17" s="4" t="inlineStr">
        <is>
          <t>UAE North</t>
        </is>
      </c>
      <c r="F17" s="4" t="inlineStr">
        <is>
          <t>Optional</t>
        </is>
      </c>
      <c r="G17" s="4" t="inlineStr">
        <is>
          <t>Only if policy requires secrets outside app settings</t>
        </is>
      </c>
      <c r="H17" s="4" t="inlineStr">
        <is>
          <t>Needs a linked (bring-your-own) Functions app, because managed SWA functions read secrets from app settings</t>
        </is>
      </c>
      <c r="I17" s="5" t="n">
        <v>0</v>
      </c>
      <c r="J17" s="4" t="inlineStr">
        <is>
          <t>IT – if required</t>
        </is>
      </c>
    </row>
    <row r="18">
      <c r="A18" s="4" t="n">
        <v>14</v>
      </c>
      <c r="B18" s="4" t="inlineStr">
        <is>
          <t>ArcGIS Location Platform key</t>
        </is>
      </c>
      <c r="C18" s="4" t="inlineStr">
        <is>
          <t>External (Esri), not Azure</t>
        </is>
      </c>
      <c r="D18" s="4" t="inlineStr">
        <is>
          <t>arcgis key</t>
        </is>
      </c>
      <c r="E18" s="4" t="inlineStr">
        <is>
          <t>n/a</t>
        </is>
      </c>
      <c r="F18" s="4" t="inlineStr">
        <is>
          <t>Optional</t>
        </is>
      </c>
      <c r="G18" s="4" t="inlineStr">
        <is>
          <t>ArcGIS place search when free OpenStreetMap search is not enough</t>
        </is>
      </c>
      <c r="H18" s="4" t="inlineStr">
        <is>
          <t>Enter in Worker app → Settings; satellite tiles need no key</t>
        </is>
      </c>
      <c r="I18" s="5" t="n">
        <v>0</v>
      </c>
      <c r="J18" s="4" t="inlineStr">
        <is>
          <t>Admin – if required</t>
        </is>
      </c>
    </row>
    <row r="19">
      <c r="H19" s="7" t="inlineStr">
        <is>
          <t>Total – indicative monthly run cost (USD)</t>
        </is>
      </c>
      <c r="I19" s="8">
        <f>SUM(I5:I18)</f>
        <v/>
      </c>
    </row>
    <row r="20">
      <c r="H20" s="7" t="inlineStr">
        <is>
          <t>Total – indicative yearly run cost (USD)</t>
        </is>
      </c>
      <c r="I20" s="8">
        <f>I19*12</f>
        <v/>
      </c>
    </row>
    <row r="22">
      <c r="B22" s="9" t="inlineStr">
        <is>
          <t>Legend: blue text on yellow = input to change (Sizing, Unit prices). Black = formula. Green = value linked from another sheet.</t>
        </is>
      </c>
    </row>
    <row r="23">
      <c r="B23" s="9" t="inlineStr">
        <is>
          <t>Region: Storage, monitoring and data in UAE North; Static Web Apps is not offered in the UAE, so it runs in the nearest SWA region. Its API reads and writes data in UAE North.</t>
        </is>
      </c>
    </row>
    <row r="24">
      <c r="B24" s="9" t="inlineStr">
        <is>
          <t>Not included: staff time, Microsoft 365 / Entra licences you already hold, mobile data for workers, and the ArcGIS key (priced by Esri).</t>
        </is>
      </c>
    </row>
    <row r="25">
      <c r="B25" s="9" t="inlineStr">
        <is>
          <t>Prices are indicative list prices in USD, to be confirmed in the Azure pricing calculator or your Enterprise Agreement before approval.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Sizing inputs and calculations</t>
        </is>
      </c>
    </row>
    <row r="2">
      <c r="A2" s="2" t="inlineStr">
        <is>
          <t>Blue cells on yellow = inputs you can change. Black = formulas. Change an input and the Resources sheet recalculates.</t>
        </is>
      </c>
    </row>
    <row r="4" ht="30" customHeight="1">
      <c r="A4" s="3" t="inlineStr">
        <is>
          <t>Item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Basis / source</t>
        </is>
      </c>
    </row>
    <row r="5">
      <c r="A5" s="4" t="inlineStr">
        <is>
          <t>Workers using the app</t>
        </is>
      </c>
      <c r="B5" s="10" t="n">
        <v>900</v>
      </c>
      <c r="C5" s="4" t="inlineStr">
        <is>
          <t>workers</t>
        </is>
      </c>
      <c r="D5" s="4" t="inlineStr">
        <is>
          <t>Attendance Tracker shipped data: 890 workers (payroll Jun–Jul 2026, rounded up)</t>
        </is>
      </c>
    </row>
    <row r="6">
      <c r="A6" s="4" t="inlineStr">
        <is>
          <t>Supervisors with a login</t>
        </is>
      </c>
      <c r="B6" s="10" t="n">
        <v>30</v>
      </c>
      <c r="C6" s="4" t="inlineStr">
        <is>
          <t>people</t>
        </is>
      </c>
      <c r="D6" s="4" t="inlineStr">
        <is>
          <t>Assumption – adjust to the real number of site supervisors</t>
        </is>
      </c>
    </row>
    <row r="7">
      <c r="A7" s="4" t="inlineStr">
        <is>
          <t>Admin / accounts users</t>
        </is>
      </c>
      <c r="B7" s="10" t="n">
        <v>5</v>
      </c>
      <c r="C7" s="4" t="inlineStr">
        <is>
          <t>people</t>
        </is>
      </c>
      <c r="D7" s="4" t="inlineStr">
        <is>
          <t>Assumption – admin (Ali) plus accounts viewers</t>
        </is>
      </c>
    </row>
    <row r="8">
      <c r="A8" s="4" t="inlineStr">
        <is>
          <t>Punches per worker per day</t>
        </is>
      </c>
      <c r="B8" s="11" t="n">
        <v>2</v>
      </c>
      <c r="C8" s="4" t="inlineStr">
        <is>
          <t>punches</t>
        </is>
      </c>
      <c r="D8" s="4" t="inlineStr">
        <is>
          <t>Check-in + check-out (agreed workflow)</t>
        </is>
      </c>
    </row>
    <row r="9">
      <c r="A9" s="4" t="inlineStr">
        <is>
          <t>Working days per month</t>
        </is>
      </c>
      <c r="B9" s="11" t="n">
        <v>30</v>
      </c>
      <c r="C9" s="4" t="inlineStr">
        <is>
          <t>days</t>
        </is>
      </c>
      <c r="D9" s="4" t="inlineStr">
        <is>
          <t>Security posts run 7 days a week (WOI: 12 h x 7 days)</t>
        </is>
      </c>
    </row>
    <row r="10">
      <c r="A10" s="4" t="inlineStr">
        <is>
          <t>Photo size</t>
        </is>
      </c>
      <c r="B10" s="10" t="n">
        <v>150</v>
      </c>
      <c r="C10" s="4" t="inlineStr">
        <is>
          <t>KB</t>
        </is>
      </c>
      <c r="D10" s="4" t="inlineStr">
        <is>
          <t>Worker page compresses to ~150–250 KB JPEG (watermarked)</t>
        </is>
      </c>
    </row>
    <row r="11">
      <c r="A11" s="4" t="inlineStr">
        <is>
          <t>Photo retention</t>
        </is>
      </c>
      <c r="B11" s="11" t="n">
        <v>12</v>
      </c>
      <c r="C11" s="4" t="inlineStr">
        <is>
          <t>months</t>
        </is>
      </c>
      <c r="D11" s="4" t="inlineStr">
        <is>
          <t>Plan default; Storage lifecycle rule deletes older photos</t>
        </is>
      </c>
    </row>
    <row r="12">
      <c r="A12" s="4" t="inlineStr">
        <is>
          <t>Punch record size (table)</t>
        </is>
      </c>
      <c r="B12" s="12" t="n">
        <v>1.5</v>
      </c>
      <c r="C12" s="4" t="inlineStr">
        <is>
          <t>KB</t>
        </is>
      </c>
      <c r="D12" s="4" t="inlineStr">
        <is>
          <t>JSON entity incl. GPS, flags, reasons</t>
        </is>
      </c>
    </row>
    <row r="13">
      <c r="A13" s="4" t="inlineStr">
        <is>
          <t>Punches per month</t>
        </is>
      </c>
      <c r="B13" s="13">
        <f>B5*B8*B9</f>
        <v/>
      </c>
      <c r="C13" s="4" t="inlineStr">
        <is>
          <t>punches</t>
        </is>
      </c>
      <c r="D13" s="4" t="inlineStr">
        <is>
          <t>Workers x punches/day x days</t>
        </is>
      </c>
    </row>
    <row r="14">
      <c r="A14" s="4" t="inlineStr">
        <is>
          <t>Photo storage added per month</t>
        </is>
      </c>
      <c r="B14" s="14">
        <f>B13*B10/1024/1024</f>
        <v/>
      </c>
      <c r="C14" s="4" t="inlineStr">
        <is>
          <t>GB</t>
        </is>
      </c>
      <c r="D14" s="4" t="inlineStr">
        <is>
          <t>Punches x photo KB</t>
        </is>
      </c>
    </row>
    <row r="15">
      <c r="A15" s="4" t="inlineStr">
        <is>
          <t>Photo storage at steady state</t>
        </is>
      </c>
      <c r="B15" s="15">
        <f>B14*B11</f>
        <v/>
      </c>
      <c r="C15" s="4" t="inlineStr">
        <is>
          <t>GB</t>
        </is>
      </c>
      <c r="D15" s="4" t="inlineStr">
        <is>
          <t>Monthly GB x retention months</t>
        </is>
      </c>
    </row>
    <row r="16">
      <c r="A16" s="4" t="inlineStr">
        <is>
          <t>Table storage after 12 months</t>
        </is>
      </c>
      <c r="B16" s="16">
        <f>B13*12*B12/1024/1024</f>
        <v/>
      </c>
      <c r="C16" s="4" t="inlineStr">
        <is>
          <t>GB</t>
        </is>
      </c>
      <c r="D16" s="4" t="inlineStr">
        <is>
          <t>Punch records only; roster/sites negligible</t>
        </is>
      </c>
    </row>
    <row r="17">
      <c r="A17" s="4" t="inlineStr">
        <is>
          <t>API calls per month (approx.)</t>
        </is>
      </c>
      <c r="B17" s="13">
        <f>B13*3+B5*B9*2+(B6+B7)*B9*300</f>
        <v/>
      </c>
      <c r="C17" s="4" t="inlineStr">
        <is>
          <t>calls</t>
        </is>
      </c>
      <c r="D17" s="4" t="inlineStr">
        <is>
          <t>Punch + profile refresh + admin sync every 5 min</t>
        </is>
      </c>
    </row>
    <row r="18">
      <c r="A18" s="4" t="inlineStr">
        <is>
          <t>Storage transactions per month (approx.)</t>
        </is>
      </c>
      <c r="B18" s="13">
        <f>B17*6</f>
        <v/>
      </c>
      <c r="C18" s="4" t="inlineStr">
        <is>
          <t>transactions</t>
        </is>
      </c>
      <c r="D18" s="4" t="inlineStr">
        <is>
          <t>About 6 table/blob operations per API call</t>
        </is>
      </c>
    </row>
    <row r="19">
      <c r="A19" s="4" t="inlineStr">
        <is>
          <t>Monitoring data ingested per month</t>
        </is>
      </c>
      <c r="B19" s="12" t="n">
        <v>2</v>
      </c>
      <c r="C19" s="4" t="inlineStr">
        <is>
          <t>GB</t>
        </is>
      </c>
      <c r="D19" s="4" t="inlineStr">
        <is>
          <t>Assumption for Application Insights with sampling on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2" customWidth="1" min="3" max="3"/>
    <col width="70" customWidth="1" min="4" max="4"/>
  </cols>
  <sheetData>
    <row r="1">
      <c r="A1" s="1" t="inlineStr">
        <is>
          <t>Indicative unit prices (USD) – verify before approval</t>
        </is>
      </c>
    </row>
    <row r="2">
      <c r="A2" s="2" t="inlineStr">
        <is>
          <t>Prices change by region and agreement. Check each in the Azure pricing calculator (azure.microsoft.com/pricing/calculator) and overwrite the blue cells.</t>
        </is>
      </c>
    </row>
    <row r="4" ht="30" customHeight="1">
      <c r="A4" s="3" t="inlineStr">
        <is>
          <t>Meter</t>
        </is>
      </c>
      <c r="B4" s="3" t="inlineStr">
        <is>
          <t>Unit price (USD)</t>
        </is>
      </c>
      <c r="C4" s="3" t="inlineStr">
        <is>
          <t>Per</t>
        </is>
      </c>
      <c r="D4" s="3" t="inlineStr">
        <is>
          <t>Note</t>
        </is>
      </c>
    </row>
    <row r="5">
      <c r="A5" s="4" t="inlineStr">
        <is>
          <t>Static Web Apps – Standard plan</t>
        </is>
      </c>
      <c r="B5" s="17" t="n">
        <v>9</v>
      </c>
      <c r="C5" s="4" t="inlineStr">
        <is>
          <t>app / month</t>
        </is>
      </c>
      <c r="D5" s="4" t="inlineStr">
        <is>
          <t>Includes managed Functions API, custom domains, managed TLS, roles</t>
        </is>
      </c>
    </row>
    <row r="6">
      <c r="A6" s="4" t="inlineStr">
        <is>
          <t>Blob storage – Hot, LRS</t>
        </is>
      </c>
      <c r="B6" s="17" t="n">
        <v>0.021</v>
      </c>
      <c r="C6" s="4" t="inlineStr">
        <is>
          <t>GB / month</t>
        </is>
      </c>
      <c r="D6" s="4" t="inlineStr">
        <is>
          <t>Photos; Cool tier is cheaper for photos older than 30 days</t>
        </is>
      </c>
    </row>
    <row r="7">
      <c r="A7" s="4" t="inlineStr">
        <is>
          <t>Table storage – LRS</t>
        </is>
      </c>
      <c r="B7" s="17" t="n">
        <v>0.045</v>
      </c>
      <c r="C7" s="4" t="inlineStr">
        <is>
          <t>GB / month</t>
        </is>
      </c>
      <c r="D7" s="4" t="inlineStr">
        <is>
          <t>Punch, roster, site and day-mark records</t>
        </is>
      </c>
    </row>
    <row r="8">
      <c r="A8" s="4" t="inlineStr">
        <is>
          <t>Storage transactions</t>
        </is>
      </c>
      <c r="B8" s="18" t="n">
        <v>0.0004</v>
      </c>
      <c r="C8" s="4" t="inlineStr">
        <is>
          <t>per 10,000</t>
        </is>
      </c>
      <c r="D8" s="4" t="inlineStr">
        <is>
          <t>Table and blob operations combined (approximation)</t>
        </is>
      </c>
    </row>
    <row r="9">
      <c r="A9" s="4" t="inlineStr">
        <is>
          <t>Application Insights / Log Analytics ingestion</t>
        </is>
      </c>
      <c r="B9" s="17" t="n">
        <v>2.3</v>
      </c>
      <c r="C9" s="4" t="inlineStr">
        <is>
          <t>GB</t>
        </is>
      </c>
      <c r="D9" s="4" t="inlineStr">
        <is>
          <t>First 5 GB per month per billing account are free</t>
        </is>
      </c>
    </row>
    <row r="10">
      <c r="A10" s="4" t="inlineStr">
        <is>
          <t>Free monitoring allowance</t>
        </is>
      </c>
      <c r="B10" s="17" t="n">
        <v>5</v>
      </c>
      <c r="C10" s="4" t="inlineStr">
        <is>
          <t>GB / month</t>
        </is>
      </c>
      <c r="D10" s="4" t="inlineStr">
        <is>
          <t>Deducted before billing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0" customWidth="1" min="3" max="3"/>
    <col width="24" customWidth="1" min="4" max="4"/>
    <col width="60" customWidth="1" min="5" max="5"/>
  </cols>
  <sheetData>
    <row r="1">
      <c r="A1" s="1" t="inlineStr">
        <is>
          <t>Application settings (Static Web App → Configuration)</t>
        </is>
      </c>
    </row>
    <row r="2">
      <c r="A2" s="2" t="inlineStr">
        <is>
          <t>Secrets are never stored in the code or the HTML files</t>
        </is>
      </c>
    </row>
    <row r="4" ht="30" customHeight="1">
      <c r="A4" s="3" t="inlineStr">
        <is>
          <t>Setting</t>
        </is>
      </c>
      <c r="B4" s="3" t="inlineStr">
        <is>
          <t>Value / source</t>
        </is>
      </c>
      <c r="C4" s="3" t="inlineStr">
        <is>
          <t>Secret</t>
        </is>
      </c>
      <c r="D4" s="3" t="inlineStr">
        <is>
          <t>Used by</t>
        </is>
      </c>
      <c r="E4" s="3" t="inlineStr">
        <is>
          <t>Note</t>
        </is>
      </c>
    </row>
    <row r="5">
      <c r="A5" s="4" t="inlineStr">
        <is>
          <t>LS_STORAGE</t>
        </is>
      </c>
      <c r="B5" s="4" t="inlineStr">
        <is>
          <t>Storage account → Access keys → Connection string</t>
        </is>
      </c>
      <c r="C5" s="4" t="inlineStr">
        <is>
          <t>Yes</t>
        </is>
      </c>
      <c r="D5" s="4" t="inlineStr">
        <is>
          <t>API</t>
        </is>
      </c>
      <c r="E5" s="4" t="inlineStr">
        <is>
          <t>Tables and photo container are created on first use</t>
        </is>
      </c>
    </row>
    <row r="6">
      <c r="A6" s="4" t="inlineStr">
        <is>
          <t>LS_TOKEN_SECRET</t>
        </is>
      </c>
      <c r="B6" s="4" t="inlineStr">
        <is>
          <t>Random 48+ characters (openssl rand -base64 48)</t>
        </is>
      </c>
      <c r="C6" s="4" t="inlineStr">
        <is>
          <t>Yes</t>
        </is>
      </c>
      <c r="D6" s="4" t="inlineStr">
        <is>
          <t>API</t>
        </is>
      </c>
      <c r="E6" s="4" t="inlineStr">
        <is>
          <t>Signs worker sessions; changing it signs all workers out</t>
        </is>
      </c>
    </row>
    <row r="7">
      <c r="A7" s="4" t="inlineStr">
        <is>
          <t>AAD_CLIENT_ID</t>
        </is>
      </c>
      <c r="B7" s="4" t="inlineStr">
        <is>
          <t>Entra ID app registration → Application (client) ID</t>
        </is>
      </c>
      <c r="C7" s="4" t="inlineStr">
        <is>
          <t>No</t>
        </is>
      </c>
      <c r="D7" s="4" t="inlineStr">
        <is>
          <t>SWA auth</t>
        </is>
      </c>
      <c r="E7" s="4" t="inlineStr">
        <is>
          <t>Only for a single-tenant custom Entra provider</t>
        </is>
      </c>
    </row>
    <row r="8">
      <c r="A8" s="4" t="inlineStr">
        <is>
          <t>AAD_CLIENT_SECRET</t>
        </is>
      </c>
      <c r="B8" s="4" t="inlineStr">
        <is>
          <t>Entra ID app registration → Certificates &amp; secrets</t>
        </is>
      </c>
      <c r="C8" s="4" t="inlineStr">
        <is>
          <t>Yes</t>
        </is>
      </c>
      <c r="D8" s="4" t="inlineStr">
        <is>
          <t>SWA auth</t>
        </is>
      </c>
      <c r="E8" s="4" t="inlineStr">
        <is>
          <t>Rotate yearly</t>
        </is>
      </c>
    </row>
    <row r="9">
      <c r="A9" s="4" t="inlineStr">
        <is>
          <t>APPLICATIONINSIGHTS_CONNECTION_STRING</t>
        </is>
      </c>
      <c r="B9" s="4" t="inlineStr">
        <is>
          <t>Application Insights → Overview</t>
        </is>
      </c>
      <c r="C9" s="4" t="inlineStr">
        <is>
          <t>No</t>
        </is>
      </c>
      <c r="D9" s="4" t="inlineStr">
        <is>
          <t>API</t>
        </is>
      </c>
      <c r="E9" s="4" t="inlineStr">
        <is>
          <t>Enables request and error telemetry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30" customWidth="1" min="4" max="4"/>
    <col width="50" customWidth="1" min="5" max="5"/>
  </cols>
  <sheetData>
    <row r="1">
      <c r="A1" s="1" t="inlineStr">
        <is>
          <t>Access levels and routes</t>
        </is>
      </c>
    </row>
    <row r="2">
      <c r="A2" s="2" t="inlineStr">
        <is>
          <t>Enforced by staticwebapp.config.json and again inside the API</t>
        </is>
      </c>
    </row>
    <row r="4" ht="30" customHeight="1">
      <c r="A4" s="3" t="inlineStr">
        <is>
          <t>Path</t>
        </is>
      </c>
      <c r="B4" s="3" t="inlineStr">
        <is>
          <t>What</t>
        </is>
      </c>
      <c r="C4" s="3" t="inlineStr">
        <is>
          <t>Allowed roles</t>
        </is>
      </c>
      <c r="D4" s="3" t="inlineStr">
        <is>
          <t>Sign-in</t>
        </is>
      </c>
      <c r="E4" s="3" t="inlineStr">
        <is>
          <t>Note</t>
        </is>
      </c>
    </row>
    <row r="5">
      <c r="A5" s="4" t="inlineStr">
        <is>
          <t>/</t>
        </is>
      </c>
      <c r="B5" s="4" t="inlineStr">
        <is>
          <t>Attendance Tracker (admin)</t>
        </is>
      </c>
      <c r="C5" s="4" t="inlineStr">
        <is>
          <t>admin, supervisor, viewer</t>
        </is>
      </c>
      <c r="D5" s="4" t="inlineStr">
        <is>
          <t>Entra ID</t>
        </is>
      </c>
      <c r="E5" s="4" t="inlineStr">
        <is>
          <t>Unauthenticated users are redirected to sign-in</t>
        </is>
      </c>
    </row>
    <row r="6">
      <c r="A6" s="4" t="inlineStr">
        <is>
          <t>/worker/</t>
        </is>
      </c>
      <c r="B6" s="4" t="inlineStr">
        <is>
          <t>Worker Attendance (phone)</t>
        </is>
      </c>
      <c r="C6" s="4" t="inlineStr">
        <is>
          <t>anonymous</t>
        </is>
      </c>
      <c r="D6" s="4" t="inlineStr">
        <is>
          <t>Emp ID + 4-digit PIN in the page</t>
        </is>
      </c>
      <c r="E6" s="4" t="inlineStr">
        <is>
          <t>PIN hashed (PBKDF2-SHA256, 100k rounds); 5 wrong PINs lock 15 min; one phone per worker</t>
        </is>
      </c>
    </row>
    <row r="7">
      <c r="A7" s="4" t="inlineStr">
        <is>
          <t>/api/worker/*</t>
        </is>
      </c>
      <c r="B7" s="4" t="inlineStr">
        <is>
          <t>login, me, punch</t>
        </is>
      </c>
      <c r="C7" s="4" t="inlineStr">
        <is>
          <t>anonymous + signed PIN token</t>
        </is>
      </c>
      <c r="D7" s="4" t="inlineStr">
        <is>
          <t>Token valid 20 h</t>
        </is>
      </c>
      <c r="E7" s="4" t="inlineStr">
        <is>
          <t>Punch needs GPS, and a photo when required</t>
        </is>
      </c>
    </row>
    <row r="8">
      <c r="A8" s="4" t="inlineStr">
        <is>
          <t>/api/supervisor/*</t>
        </is>
      </c>
      <c r="B8" s="4" t="inlineStr">
        <is>
          <t>board, punch on behalf, mark no-check-in day</t>
        </is>
      </c>
      <c r="C8" s="4" t="inlineStr">
        <is>
          <t>supervisor, admin</t>
        </is>
      </c>
      <c r="D8" s="4" t="inlineStr">
        <is>
          <t>Entra ID</t>
        </is>
      </c>
      <c r="E8" s="4" t="inlineStr">
        <is>
          <t>Marks: A, OFF, SL, AL, EL, UL, SIRA, P (no phone)</t>
        </is>
      </c>
    </row>
    <row r="9">
      <c r="A9" s="4" t="inlineStr">
        <is>
          <t>/api/admin/* (GET)</t>
        </is>
      </c>
      <c r="B9" s="4" t="inlineStr">
        <is>
          <t>punches, photo, marks</t>
        </is>
      </c>
      <c r="C9" s="4" t="inlineStr">
        <is>
          <t>admin, supervisor, viewer</t>
        </is>
      </c>
      <c r="D9" s="4" t="inlineStr">
        <is>
          <t>Entra ID</t>
        </is>
      </c>
      <c r="E9" s="4" t="inlineStr">
        <is>
          <t>Photos streamed only after the role check</t>
        </is>
      </c>
    </row>
    <row r="10">
      <c r="A10" s="4" t="inlineStr">
        <is>
          <t>/api/admin/* (PUT/POST)</t>
        </is>
      </c>
      <c r="B10" s="4" t="inlineStr">
        <is>
          <t>roster publish, review</t>
        </is>
      </c>
      <c r="C10" s="4" t="inlineStr">
        <is>
          <t>admin</t>
        </is>
      </c>
      <c r="D10" s="4" t="inlineStr">
        <is>
          <t>Entra ID</t>
        </is>
      </c>
      <c r="E10" s="4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20" customWidth="1" min="3" max="3"/>
    <col width="60" customWidth="1" min="4" max="4"/>
  </cols>
  <sheetData>
    <row r="1">
      <c r="A1" s="1" t="inlineStr">
        <is>
          <t>External hosts the pages call (allow in proxy / content security policy)</t>
        </is>
      </c>
    </row>
    <row r="2">
      <c r="A2" s="2" t="inlineStr">
        <is>
          <t>Called from the user's browser, not from Azure</t>
        </is>
      </c>
    </row>
    <row r="4" ht="30" customHeight="1">
      <c r="A4" s="3" t="inlineStr">
        <is>
          <t>Host</t>
        </is>
      </c>
      <c r="B4" s="3" t="inlineStr">
        <is>
          <t>Purpose</t>
        </is>
      </c>
      <c r="C4" s="3" t="inlineStr">
        <is>
          <t>Page</t>
        </is>
      </c>
      <c r="D4" s="3" t="inlineStr">
        <is>
          <t>Licence / terms</t>
        </is>
      </c>
    </row>
    <row r="5">
      <c r="A5" s="4" t="inlineStr">
        <is>
          <t>cdn.jsdelivr.net</t>
        </is>
      </c>
      <c r="B5" s="4" t="inlineStr">
        <is>
          <t>Leaflet 1.9.4, SheetJS 0.18.5, ExcelJS 4.4.0, pdf-lib 1.17.1, pdf.js 4.10.38, html2canvas 1.4.1, qrcode-generator 1.4.4</t>
        </is>
      </c>
      <c r="C5" s="4" t="inlineStr">
        <is>
          <t>Both</t>
        </is>
      </c>
      <c r="D5" s="4" t="inlineStr">
        <is>
          <t>Open-source libraries (BSD / Apache / MIT)</t>
        </is>
      </c>
    </row>
    <row r="6">
      <c r="A6" s="4" t="inlineStr">
        <is>
          <t>server.arcgisonline.com</t>
        </is>
      </c>
      <c r="B6" s="4" t="inlineStr">
        <is>
          <t>Map view (Esri World Street Map), Satellite view (World Imagery) + place labels</t>
        </is>
      </c>
      <c r="C6" s="4" t="inlineStr">
        <is>
          <t>Both</t>
        </is>
      </c>
      <c r="D6" s="4" t="inlineStr">
        <is>
          <t>Esri basemap terms; attribution shown</t>
        </is>
      </c>
    </row>
    <row r="7">
      <c r="A7" s="4" t="inlineStr">
        <is>
          <t>photon.komoot.io</t>
        </is>
      </c>
      <c r="B7" s="4" t="inlineStr">
        <is>
          <t>Place search type-ahead</t>
        </is>
      </c>
      <c r="C7" s="4" t="inlineStr">
        <is>
          <t>Admin</t>
        </is>
      </c>
      <c r="D7" s="4" t="inlineStr">
        <is>
          <t>Free OSM-based service, fair use</t>
        </is>
      </c>
    </row>
    <row r="8">
      <c r="A8" s="4" t="inlineStr">
        <is>
          <t>nominatim.openstreetmap.org</t>
        </is>
      </c>
      <c r="B8" s="4" t="inlineStr">
        <is>
          <t>Place search on Enter</t>
        </is>
      </c>
      <c r="C8" s="4" t="inlineStr">
        <is>
          <t>Admin</t>
        </is>
      </c>
      <c r="D8" s="4" t="inlineStr">
        <is>
          <t>Nominatim usage policy: max 1 request/second</t>
        </is>
      </c>
    </row>
    <row r="9">
      <c r="A9" s="4" t="inlineStr">
        <is>
          <t>geocode-api.arcgis.com</t>
        </is>
      </c>
      <c r="B9" s="4" t="inlineStr">
        <is>
          <t>ArcGIS search (only when a key is set)</t>
        </is>
      </c>
      <c r="C9" s="4" t="inlineStr">
        <is>
          <t>Admin</t>
        </is>
      </c>
      <c r="D9" s="4" t="inlineStr">
        <is>
          <t>ArcGIS Location Platform, per request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34" customWidth="1" min="4" max="4"/>
    <col width="56" customWidth="1" min="5" max="5"/>
  </cols>
  <sheetData>
    <row r="1">
      <c r="A1" s="1" t="inlineStr">
        <is>
          <t>Application runtime stack and versions</t>
        </is>
      </c>
    </row>
    <row r="2">
      <c r="A2" s="2" t="inlineStr">
        <is>
          <t>Versions as built and tested on 30 Sep 2026</t>
        </is>
      </c>
    </row>
    <row r="4" ht="30" customHeight="1">
      <c r="A4" s="3" t="inlineStr">
        <is>
          <t>Layer</t>
        </is>
      </c>
      <c r="B4" s="3" t="inlineStr">
        <is>
          <t>Component</t>
        </is>
      </c>
      <c r="C4" s="3" t="inlineStr">
        <is>
          <t>Version</t>
        </is>
      </c>
      <c r="D4" s="3" t="inlineStr">
        <is>
          <t>Where</t>
        </is>
      </c>
      <c r="E4" s="3" t="inlineStr">
        <is>
          <t>Note</t>
        </is>
      </c>
    </row>
    <row r="5">
      <c r="A5" s="4" t="inlineStr">
        <is>
          <t>Hosting</t>
        </is>
      </c>
      <c r="B5" s="4" t="inlineStr">
        <is>
          <t>Azure Static Web Apps</t>
        </is>
      </c>
      <c r="C5" s="4" t="inlineStr">
        <is>
          <t>Standard plan</t>
        </is>
      </c>
      <c r="D5" s="4" t="inlineStr">
        <is>
          <t>Azure</t>
        </is>
      </c>
      <c r="E5" s="4" t="inlineStr">
        <is>
          <t>Managed Functions API included</t>
        </is>
      </c>
    </row>
    <row r="6">
      <c r="A6" s="4" t="inlineStr">
        <is>
          <t>API runtime</t>
        </is>
      </c>
      <c r="B6" s="4" t="inlineStr">
        <is>
          <t>Azure Functions host</t>
        </is>
      </c>
      <c r="C6" s="4" t="inlineStr">
        <is>
          <t>4.x</t>
        </is>
      </c>
      <c r="D6" s="4" t="inlineStr">
        <is>
          <t>Managed by SWA</t>
        </is>
      </c>
      <c r="E6" s="4" t="inlineStr">
        <is>
          <t>Extension bundle [4.*, 5.0.0)</t>
        </is>
      </c>
    </row>
    <row r="7">
      <c r="A7" s="4" t="inlineStr">
        <is>
          <t>API language</t>
        </is>
      </c>
      <c r="B7" s="4" t="inlineStr">
        <is>
          <t>Node.js</t>
        </is>
      </c>
      <c r="C7" s="4" t="inlineStr">
        <is>
          <t>20 LTS</t>
        </is>
      </c>
      <c r="D7" s="4" t="inlineStr">
        <is>
          <t>Managed by SWA</t>
        </is>
      </c>
      <c r="E7" s="4" t="inlineStr">
        <is>
          <t>Functions v4 programming model</t>
        </is>
      </c>
    </row>
    <row r="8">
      <c r="A8" s="4" t="inlineStr">
        <is>
          <t>API package</t>
        </is>
      </c>
      <c r="B8" s="4" t="inlineStr">
        <is>
          <t>@azure/functions</t>
        </is>
      </c>
      <c r="C8" s="4" t="inlineStr">
        <is>
          <t>^4.5.0</t>
        </is>
      </c>
      <c r="D8" s="4" t="inlineStr">
        <is>
          <t>azure/api/package.json</t>
        </is>
      </c>
      <c r="E8" s="4" t="inlineStr"/>
    </row>
    <row r="9">
      <c r="A9" s="4" t="inlineStr">
        <is>
          <t>API package</t>
        </is>
      </c>
      <c r="B9" s="4" t="inlineStr">
        <is>
          <t>@azure/data-tables</t>
        </is>
      </c>
      <c r="C9" s="4" t="inlineStr">
        <is>
          <t>^13.2.2</t>
        </is>
      </c>
      <c r="D9" s="4" t="inlineStr">
        <is>
          <t>azure/api/package.json</t>
        </is>
      </c>
      <c r="E9" s="4" t="inlineStr">
        <is>
          <t>Table Storage client</t>
        </is>
      </c>
    </row>
    <row r="10">
      <c r="A10" s="4" t="inlineStr">
        <is>
          <t>API package</t>
        </is>
      </c>
      <c r="B10" s="4" t="inlineStr">
        <is>
          <t>@azure/storage-blob</t>
        </is>
      </c>
      <c r="C10" s="4" t="inlineStr">
        <is>
          <t>^12.24.0</t>
        </is>
      </c>
      <c r="D10" s="4" t="inlineStr">
        <is>
          <t>azure/api/package.json</t>
        </is>
      </c>
      <c r="E10" s="4" t="inlineStr">
        <is>
          <t>Blob Storage client</t>
        </is>
      </c>
    </row>
    <row r="11">
      <c r="A11" s="4" t="inlineStr">
        <is>
          <t>Security</t>
        </is>
      </c>
      <c r="B11" s="4" t="inlineStr">
        <is>
          <t>WebCrypto (PBKDF2-SHA256, HMAC-SHA256)</t>
        </is>
      </c>
      <c r="C11" s="4" t="inlineStr">
        <is>
          <t>Built-in</t>
        </is>
      </c>
      <c r="D11" s="4" t="inlineStr">
        <is>
          <t>Browser + Node 20</t>
        </is>
      </c>
      <c r="E11" s="4" t="inlineStr">
        <is>
          <t>PIN hashing and session tokens; no extra library</t>
        </is>
      </c>
    </row>
    <row r="12">
      <c r="A12" s="4" t="inlineStr">
        <is>
          <t>Data</t>
        </is>
      </c>
      <c r="B12" s="4" t="inlineStr">
        <is>
          <t>Azure Table Storage / Blob Storage</t>
        </is>
      </c>
      <c r="C12" s="4" t="inlineStr">
        <is>
          <t>Storage account v2</t>
        </is>
      </c>
      <c r="D12" s="4" t="inlineStr">
        <is>
          <t>Azure</t>
        </is>
      </c>
      <c r="E12" s="4" t="inlineStr">
        <is>
          <t>TLS 1.2+</t>
        </is>
      </c>
    </row>
    <row r="13">
      <c r="A13" s="4" t="inlineStr">
        <is>
          <t>Front end</t>
        </is>
      </c>
      <c r="B13" s="4" t="inlineStr">
        <is>
          <t>HTML5 + vanilla JavaScript (ES2020)</t>
        </is>
      </c>
      <c r="C13" s="4" t="inlineStr">
        <is>
          <t>n/a</t>
        </is>
      </c>
      <c r="D13" s="4" t="inlineStr">
        <is>
          <t>Two single-file pages</t>
        </is>
      </c>
      <c r="E13" s="4" t="inlineStr">
        <is>
          <t>No framework; built by node build.mjs</t>
        </is>
      </c>
    </row>
    <row r="14">
      <c r="A14" s="4" t="inlineStr">
        <is>
          <t>Front end</t>
        </is>
      </c>
      <c r="B14" s="4" t="inlineStr">
        <is>
          <t>Leaflet</t>
        </is>
      </c>
      <c r="C14" s="4" t="inlineStr">
        <is>
          <t>1.9.4</t>
        </is>
      </c>
      <c r="D14" s="4" t="inlineStr">
        <is>
          <t>cdn.jsdelivr.net</t>
        </is>
      </c>
      <c r="E14" s="4" t="inlineStr">
        <is>
          <t>Maps (Esri street + satellite tiles), zones, pins</t>
        </is>
      </c>
    </row>
    <row r="15">
      <c r="A15" s="4" t="inlineStr">
        <is>
          <t>Front end</t>
        </is>
      </c>
      <c r="B15" s="4" t="inlineStr">
        <is>
          <t>SheetJS (xlsx)</t>
        </is>
      </c>
      <c r="C15" s="4" t="inlineStr">
        <is>
          <t>0.18.5</t>
        </is>
      </c>
      <c r="D15" s="4" t="inlineStr">
        <is>
          <t>cdn.jsdelivr.net</t>
        </is>
      </c>
      <c r="E15" s="4" t="inlineStr">
        <is>
          <t>Excel import</t>
        </is>
      </c>
    </row>
    <row r="16">
      <c r="A16" s="4" t="inlineStr">
        <is>
          <t>Front end</t>
        </is>
      </c>
      <c r="B16" s="4" t="inlineStr">
        <is>
          <t>ExcelJS</t>
        </is>
      </c>
      <c r="C16" s="4" t="inlineStr">
        <is>
          <t>4.4.0</t>
        </is>
      </c>
      <c r="D16" s="4" t="inlineStr">
        <is>
          <t>cdn.jsdelivr.net</t>
        </is>
      </c>
      <c r="E16" s="4" t="inlineStr">
        <is>
          <t>Excel export (LS/DO/F-026, master sheet)</t>
        </is>
      </c>
    </row>
    <row r="17">
      <c r="A17" s="4" t="inlineStr">
        <is>
          <t>Front end</t>
        </is>
      </c>
      <c r="B17" s="4" t="inlineStr">
        <is>
          <t>pdf-lib</t>
        </is>
      </c>
      <c r="C17" s="4" t="inlineStr">
        <is>
          <t>1.17.1</t>
        </is>
      </c>
      <c r="D17" s="4" t="inlineStr">
        <is>
          <t>cdn.jsdelivr.net</t>
        </is>
      </c>
      <c r="E17" s="4" t="inlineStr">
        <is>
          <t>Build the invoice pack PDF (copy uploaded pages, place generated pages)</t>
        </is>
      </c>
    </row>
    <row r="18">
      <c r="A18" s="4" t="inlineStr">
        <is>
          <t>Front end</t>
        </is>
      </c>
      <c r="B18" s="4" t="inlineStr">
        <is>
          <t>pdf.js (pdfjs-dist)</t>
        </is>
      </c>
      <c r="C18" s="4" t="inlineStr">
        <is>
          <t>4.10.38</t>
        </is>
      </c>
      <c r="D18" s="4" t="inlineStr">
        <is>
          <t>cdn.jsdelivr.net</t>
        </is>
      </c>
      <c r="E18" s="4" t="inlineStr">
        <is>
          <t>Read uploaded PDFs: page text and thumbnails for page identification</t>
        </is>
      </c>
    </row>
    <row r="19">
      <c r="A19" s="4" t="inlineStr">
        <is>
          <t>Front end</t>
        </is>
      </c>
      <c r="B19" s="4" t="inlineStr">
        <is>
          <t>html2canvas</t>
        </is>
      </c>
      <c r="C19" s="4" t="inlineStr">
        <is>
          <t>1.4.1</t>
        </is>
      </c>
      <c r="D19" s="4" t="inlineStr">
        <is>
          <t>cdn.jsdelivr.net</t>
        </is>
      </c>
      <c r="E19" s="4" t="inlineStr">
        <is>
          <t>Render generated break-up and timesheet pages to images for the pack</t>
        </is>
      </c>
    </row>
    <row r="20">
      <c r="A20" s="4" t="inlineStr">
        <is>
          <t>Front end</t>
        </is>
      </c>
      <c r="B20" s="4" t="inlineStr">
        <is>
          <t>qrcode-generator</t>
        </is>
      </c>
      <c r="C20" s="4" t="inlineStr">
        <is>
          <t>1.4.4</t>
        </is>
      </c>
      <c r="D20" s="4" t="inlineStr">
        <is>
          <t>cdn.jsdelivr.net</t>
        </is>
      </c>
      <c r="E20" s="4" t="inlineStr">
        <is>
          <t>QR code on PIN slips</t>
        </is>
      </c>
    </row>
    <row r="21">
      <c r="A21" s="4" t="inlineStr">
        <is>
          <t>Browser storage</t>
        </is>
      </c>
      <c r="B21" s="4" t="inlineStr">
        <is>
          <t>IndexedDB, localStorage, Service Worker</t>
        </is>
      </c>
      <c r="C21" s="4" t="inlineStr">
        <is>
          <t>Built-in</t>
        </is>
      </c>
      <c r="D21" s="4" t="inlineStr">
        <is>
          <t>Browser</t>
        </is>
      </c>
      <c r="E21" s="4" t="inlineStr">
        <is>
          <t>Admin data, offline punch queue, remembered Emp ID</t>
        </is>
      </c>
    </row>
    <row r="22">
      <c r="A22" s="4" t="inlineStr">
        <is>
          <t>Supported browsers</t>
        </is>
      </c>
      <c r="B22" s="4" t="inlineStr">
        <is>
          <t>Edge / Chrome (admin)</t>
        </is>
      </c>
      <c r="C22" s="4" t="inlineStr">
        <is>
          <t>Current, Chromium 110+</t>
        </is>
      </c>
      <c r="D22" s="4" t="inlineStr">
        <is>
          <t>PC</t>
        </is>
      </c>
      <c r="E22" s="4" t="inlineStr">
        <is>
          <t>Printing uses the browser print dialog</t>
        </is>
      </c>
    </row>
    <row r="23">
      <c r="A23" s="4" t="inlineStr">
        <is>
          <t>Supported browsers</t>
        </is>
      </c>
      <c r="B23" s="4" t="inlineStr">
        <is>
          <t>Chrome for Android / Safari on iOS (worker)</t>
        </is>
      </c>
      <c r="C23" s="4" t="inlineStr">
        <is>
          <t>Android 9+ Chrome 110+; iOS 16.4+</t>
        </is>
      </c>
      <c r="D23" s="4" t="inlineStr">
        <is>
          <t>Phone</t>
        </is>
      </c>
      <c r="E23" s="4" t="inlineStr">
        <is>
          <t>Camera and GPS need HTTPS; add to Home screen</t>
        </is>
      </c>
    </row>
    <row r="24">
      <c r="A24" s="4" t="inlineStr">
        <is>
          <t>Build / test</t>
        </is>
      </c>
      <c r="B24" s="4" t="inlineStr">
        <is>
          <t>Node.js</t>
        </is>
      </c>
      <c r="C24" s="4" t="inlineStr">
        <is>
          <t>20+ (tested 22.22)</t>
        </is>
      </c>
      <c r="D24" s="4" t="inlineStr">
        <is>
          <t>Developer PC / CI</t>
        </is>
      </c>
      <c r="E24" s="4" t="inlineStr">
        <is>
          <t>node build.mjs; tests in tests/</t>
        </is>
      </c>
    </row>
    <row r="25">
      <c r="A25" t="inlineStr">
        <is>
          <t>Build / test</t>
        </is>
      </c>
      <c r="B25" t="inlineStr">
        <is>
          <t>Playwright + Chromium</t>
        </is>
      </c>
      <c r="C25" t="inlineStr">
        <is>
          <t>1.47+</t>
        </is>
      </c>
      <c r="D25" t="inlineStr">
        <is>
          <t>CI</t>
        </is>
      </c>
      <c r="E25" t="inlineStr">
        <is>
          <t>End-to-end tests with fake GPS and camera</t>
        </is>
      </c>
    </row>
    <row r="26">
      <c r="A26" t="inlineStr">
        <is>
          <t>Build / test</t>
        </is>
      </c>
      <c r="B26" t="inlineStr">
        <is>
          <t>Azurite</t>
        </is>
      </c>
      <c r="C26" t="inlineStr">
        <is>
          <t>3.x</t>
        </is>
      </c>
      <c r="D26" t="inlineStr">
        <is>
          <t>CI</t>
        </is>
      </c>
      <c r="E26" t="inlineStr">
        <is>
          <t>Local Azure Storage emulator for store tests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2026-10-05T14:24:41Z</dcterms:created>
  <dcterms:modified xsi:type="dcterms:W3CDTF">2026-10-05T14:24:41Z</dcterms:modified>
</cp:coreProperties>
</file>